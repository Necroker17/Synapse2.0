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ing" sheetId="1" state="visible" r:id="rId1"/>
    <sheet name="Embudo Trial" sheetId="2" state="visible" r:id="rId2"/>
    <sheet name="Comisiones Embajadores" sheetId="3" state="visible" r:id="rId3"/>
    <sheet name="Escenarios Embajadores" sheetId="4" state="visible" r:id="rId4"/>
    <sheet name="Modelo Financiero" sheetId="5" state="visible" r:id="rId5"/>
    <sheet name="Reparto Soc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6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  <font>
      <i val="1"/>
      <sz val="9"/>
    </font>
    <font>
      <i val="1"/>
      <sz val="8"/>
    </font>
  </fonts>
  <fills count="4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FFF9C4"/>
        <bgColor rgb="00FFF9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9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64" fontId="3" fillId="0" borderId="0" pivotButton="0" quotePrefix="0" xfId="0"/>
    <xf numFmtId="0" fontId="0" fillId="3" borderId="0" pivotButton="0" quotePrefix="0" xfId="0"/>
    <xf numFmtId="164" fontId="0" fillId="3" borderId="0" pivotButton="0" quotePrefix="0" xfId="0"/>
    <xf numFmtId="9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0" customWidth="1" min="3" max="3"/>
    <col width="18" customWidth="1" min="4" max="4"/>
    <col width="55" customWidth="1" min="5" max="5"/>
  </cols>
  <sheetData>
    <row r="1">
      <c r="A1" s="1" t="inlineStr">
        <is>
          <t>Planes de Membresía — Synapse AI Scanner</t>
        </is>
      </c>
    </row>
    <row r="3">
      <c r="A3" s="2" t="inlineStr">
        <is>
          <t>Plan</t>
        </is>
      </c>
      <c r="B3" s="2" t="inlineStr">
        <is>
          <t>Duración (meses)</t>
        </is>
      </c>
      <c r="C3" s="2" t="inlineStr">
        <is>
          <t>Precio Lanzamiento (USD)</t>
        </is>
      </c>
      <c r="D3" s="2" t="inlineStr">
        <is>
          <t>Precio Oficial (USD)</t>
        </is>
      </c>
      <c r="E3" s="2" t="inlineStr">
        <is>
          <t>Entregables clave</t>
        </is>
      </c>
    </row>
    <row r="4" ht="30" customHeight="1">
      <c r="A4" s="3" t="inlineStr">
        <is>
          <t>STANDARD</t>
        </is>
      </c>
      <c r="B4" t="n">
        <v>3</v>
      </c>
      <c r="C4" s="4" t="n">
        <v>197</v>
      </c>
      <c r="D4" s="4" t="n">
        <v>249</v>
      </c>
      <c r="E4" s="5" t="inlineStr">
        <is>
          <t>Indicador (3m); comunidad privada WhatsApp (señales); clases en vivo 1-2x/semana; todos los módulos de Skool</t>
        </is>
      </c>
    </row>
    <row r="5" ht="30" customHeight="1">
      <c r="A5" s="3" t="inlineStr">
        <is>
          <t>PRO</t>
        </is>
      </c>
      <c r="B5" t="n">
        <v>6</v>
      </c>
      <c r="C5" s="4" t="n">
        <v>299</v>
      </c>
      <c r="D5" s="4" t="n">
        <v>397</v>
      </c>
      <c r="E5" s="5" t="inlineStr">
        <is>
          <t>Todo lo de STANDARD + indicador (6m) + señales VIP de altos ratios + soporte prioritario</t>
        </is>
      </c>
    </row>
    <row r="6" ht="30" customHeight="1">
      <c r="A6" s="3" t="inlineStr">
        <is>
          <t>PREMIUM</t>
        </is>
      </c>
      <c r="B6" t="n">
        <v>12</v>
      </c>
      <c r="C6" s="4" t="n">
        <v>699</v>
      </c>
      <c r="D6" s="4" t="n">
        <v>799</v>
      </c>
      <c r="E6" s="5" t="inlineStr">
        <is>
          <t>Todo lo de PRO + indicador (12m) + Grupo Elite (mentoría 1 a 1)</t>
        </is>
      </c>
    </row>
    <row r="8">
      <c r="A8" s="6" t="inlineStr">
        <is>
          <t>Nota: corte del precio de lanzamiento es por fecha fija (aún sin definir); política de renovación (precio oficial vs. de adquisición) pendiente. Ver pricing_strategy.md sección 3.</t>
        </is>
      </c>
    </row>
  </sheetData>
  <mergeCells count="1">
    <mergeCell ref="A8:E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Embudo de Adquisición — Free Trial</t>
        </is>
      </c>
    </row>
    <row r="3">
      <c r="A3" s="2" t="inlineStr">
        <is>
          <t>Elemento</t>
        </is>
      </c>
      <c r="B3" s="2" t="inlineStr">
        <is>
          <t>Detalle</t>
        </is>
      </c>
    </row>
    <row r="4">
      <c r="A4" s="3" t="inlineStr">
        <is>
          <t>Duración</t>
        </is>
      </c>
      <c r="B4" s="7" t="inlineStr">
        <is>
          <t>15 días de acceso gratuito al indicador</t>
        </is>
      </c>
    </row>
    <row r="5">
      <c r="A5" s="3" t="inlineStr">
        <is>
          <t>Incentivo económico</t>
        </is>
      </c>
      <c r="B5" s="7" t="inlineStr">
        <is>
          <t>Bono de $30 USD otorgado por el BROKER al registrarse (no es costo de Synapse)</t>
        </is>
      </c>
    </row>
    <row r="6">
      <c r="A6" s="3" t="inlineStr">
        <is>
          <t>Educación</t>
        </is>
      </c>
      <c r="B6" s="7" t="inlineStr">
        <is>
          <t>Acceso al Módulo 1 de Skool (Trading básico)</t>
        </is>
      </c>
    </row>
    <row r="7">
      <c r="A7" s="3" t="inlineStr">
        <is>
          <t>Comunidad</t>
        </is>
      </c>
      <c r="B7" s="7" t="inlineStr">
        <is>
          <t>Grupo abierto de WhatsApp: clases gratuitas + testimonios/casos de éxito diarios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22" customWidth="1" min="4" max="4"/>
    <col width="20" customWidth="1" min="5" max="5"/>
    <col width="24" customWidth="1" min="6" max="6"/>
    <col width="22" customWidth="1" min="7" max="7"/>
  </cols>
  <sheetData>
    <row r="1">
      <c r="A1" s="1" t="inlineStr">
        <is>
          <t>Estructura de Comisión de Embajadores</t>
        </is>
      </c>
    </row>
    <row r="3">
      <c r="A3" s="2" t="inlineStr">
        <is>
          <t>Evento</t>
        </is>
      </c>
      <c r="B3" s="2" t="inlineStr">
        <is>
          <t>Tasa de comisión</t>
        </is>
      </c>
    </row>
    <row r="4">
      <c r="A4" s="3" t="inlineStr">
        <is>
          <t>Primera venta de un cliente referido</t>
        </is>
      </c>
      <c r="B4" s="8" t="n">
        <v>0.5</v>
      </c>
    </row>
    <row r="5">
      <c r="A5" s="3" t="inlineStr">
        <is>
          <t>Segunda re-compra en adelante (re-consumo)</t>
        </is>
      </c>
      <c r="B5" s="8" t="n">
        <v>0.25</v>
      </c>
    </row>
    <row r="7">
      <c r="A7" s="3" t="inlineStr">
        <is>
          <t>Ejemplo de comisión en USD por plan (vinculado a la pestaña Pricing)</t>
        </is>
      </c>
    </row>
    <row r="8">
      <c r="A8" s="2" t="inlineStr">
        <is>
          <t>Plan</t>
        </is>
      </c>
      <c r="B8" s="2" t="inlineStr">
        <is>
          <t>Precio Lanzamiento</t>
        </is>
      </c>
      <c r="C8" s="2" t="inlineStr">
        <is>
          <t>Precio Oficial</t>
        </is>
      </c>
      <c r="D8" s="2" t="inlineStr">
        <is>
          <t>Comisión 1ra venta (lanz.)</t>
        </is>
      </c>
      <c r="E8" s="2" t="inlineStr">
        <is>
          <t>Comisión 1ra venta (of.)</t>
        </is>
      </c>
      <c r="F8" s="2" t="inlineStr">
        <is>
          <t>Comisión re-consumo (lanz.)</t>
        </is>
      </c>
      <c r="G8" s="2" t="inlineStr">
        <is>
          <t>Comisión re-consumo (of.)</t>
        </is>
      </c>
    </row>
    <row r="9">
      <c r="A9" s="3" t="inlineStr">
        <is>
          <t>STANDARD</t>
        </is>
      </c>
      <c r="B9" s="4">
        <f>'Pricing'!C4</f>
        <v/>
      </c>
      <c r="C9" s="4">
        <f>'Pricing'!D4</f>
        <v/>
      </c>
      <c r="D9" s="4">
        <f>B9*$B$4</f>
        <v/>
      </c>
      <c r="E9" s="4">
        <f>C9*$B$4</f>
        <v/>
      </c>
      <c r="F9" s="4">
        <f>B9*$B$5</f>
        <v/>
      </c>
      <c r="G9" s="4">
        <f>C9*$B$5</f>
        <v/>
      </c>
    </row>
    <row r="10">
      <c r="A10" s="3" t="inlineStr">
        <is>
          <t>PRO</t>
        </is>
      </c>
      <c r="B10" s="4">
        <f>'Pricing'!C5</f>
        <v/>
      </c>
      <c r="C10" s="4">
        <f>'Pricing'!D5</f>
        <v/>
      </c>
      <c r="D10" s="4">
        <f>B10*$B$4</f>
        <v/>
      </c>
      <c r="E10" s="4">
        <f>C10*$B$4</f>
        <v/>
      </c>
      <c r="F10" s="4">
        <f>B10*$B$5</f>
        <v/>
      </c>
      <c r="G10" s="4">
        <f>C10*$B$5</f>
        <v/>
      </c>
    </row>
    <row r="11">
      <c r="A11" s="3" t="inlineStr">
        <is>
          <t>PREMIUM</t>
        </is>
      </c>
      <c r="B11" s="4">
        <f>'Pricing'!C6</f>
        <v/>
      </c>
      <c r="C11" s="4">
        <f>'Pricing'!D6</f>
        <v/>
      </c>
      <c r="D11" s="4">
        <f>B11*$B$4</f>
        <v/>
      </c>
      <c r="E11" s="4">
        <f>C11*$B$4</f>
        <v/>
      </c>
      <c r="F11" s="4">
        <f>B11*$B$5</f>
        <v/>
      </c>
      <c r="G11" s="4">
        <f>C11*$B$5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  <col width="20" customWidth="1" min="4" max="4"/>
    <col width="2" customWidth="1" min="5" max="5"/>
    <col width="14" customWidth="1" min="6" max="6"/>
    <col width="12" customWidth="1" min="7" max="7"/>
    <col width="8" customWidth="1" min="8" max="8"/>
  </cols>
  <sheetData>
    <row r="1">
      <c r="A1" s="1" t="inlineStr">
        <is>
          <t>Matriz de Escenarios — Ingreso Anual de UN Embajador</t>
        </is>
      </c>
    </row>
    <row r="2">
      <c r="A2" s="9" t="inlineStr">
        <is>
          <t>Fórmula: comisión_anual = n × P × [6 + 2.25r + 1.5r² + 0.75r³]  (n=nuevos/mes, P=precio plan, r=retención trimestral)</t>
        </is>
      </c>
    </row>
    <row r="4">
      <c r="A4" s="3" t="inlineStr">
        <is>
          <t>Precio Oficial STANDARD</t>
        </is>
      </c>
      <c r="F4" s="9" t="inlineStr">
        <is>
          <t>Precio usado:</t>
        </is>
      </c>
      <c r="G4" s="4">
        <f>'Pricing'!D4</f>
        <v/>
      </c>
    </row>
    <row r="5">
      <c r="A5" s="2" t="inlineStr">
        <is>
          <t>Volumen/mes (n)</t>
        </is>
      </c>
      <c r="B5" s="2" t="inlineStr">
        <is>
          <t>Conservador (20%)</t>
        </is>
      </c>
      <c r="C5" s="2" t="inlineStr">
        <is>
          <t>Base (40%)</t>
        </is>
      </c>
      <c r="D5" s="2" t="inlineStr">
        <is>
          <t>Optimista (60%)</t>
        </is>
      </c>
    </row>
    <row r="6">
      <c r="A6" s="10" t="inlineStr">
        <is>
          <t>(r usado por columna →)</t>
        </is>
      </c>
      <c r="B6" s="8" t="n">
        <v>0.2</v>
      </c>
      <c r="C6" s="8" t="n">
        <v>0.4</v>
      </c>
      <c r="D6" s="8" t="n">
        <v>0.6</v>
      </c>
    </row>
    <row r="7">
      <c r="A7" t="inlineStr">
        <is>
          <t>Principiante (3/mes)</t>
        </is>
      </c>
      <c r="B7" s="4">
        <f>$H7*$G4*(6+2.25*B$6+1.5*B$6^2+0.75*B$6^3)</f>
        <v/>
      </c>
      <c r="C7" s="4">
        <f>$H7*$G4*(6+2.25*C$6+1.5*C$6^2+0.75*C$6^3)</f>
        <v/>
      </c>
      <c r="D7" s="4">
        <f>$H7*$G4*(6+2.25*D$6+1.5*D$6^2+0.75*D$6^3)</f>
        <v/>
      </c>
      <c r="H7" t="n">
        <v>3</v>
      </c>
    </row>
    <row r="8">
      <c r="A8" t="inlineStr">
        <is>
          <t>Promedio (5/mes)</t>
        </is>
      </c>
      <c r="B8" s="4">
        <f>$H8*$G4*(6+2.25*B$6+1.5*B$6^2+0.75*B$6^3)</f>
        <v/>
      </c>
      <c r="C8" s="4">
        <f>$H8*$G4*(6+2.25*C$6+1.5*C$6^2+0.75*C$6^3)</f>
        <v/>
      </c>
      <c r="D8" s="4">
        <f>$H8*$G4*(6+2.25*D$6+1.5*D$6^2+0.75*D$6^3)</f>
        <v/>
      </c>
      <c r="H8" t="n">
        <v>5</v>
      </c>
    </row>
    <row r="9">
      <c r="A9" t="inlineStr">
        <is>
          <t>Consistente (10/mes)</t>
        </is>
      </c>
      <c r="B9" s="4">
        <f>$H9*$G4*(6+2.25*B$6+1.5*B$6^2+0.75*B$6^3)</f>
        <v/>
      </c>
      <c r="C9" s="4">
        <f>$H9*$G4*(6+2.25*C$6+1.5*C$6^2+0.75*C$6^3)</f>
        <v/>
      </c>
      <c r="D9" s="4">
        <f>$H9*$G4*(6+2.25*D$6+1.5*D$6^2+0.75*D$6^3)</f>
        <v/>
      </c>
      <c r="H9" t="n">
        <v>10</v>
      </c>
    </row>
    <row r="10">
      <c r="A10" t="inlineStr">
        <is>
          <t>Alto rendimiento (15/mes)</t>
        </is>
      </c>
      <c r="B10" s="4">
        <f>$H10*$G4*(6+2.25*B$6+1.5*B$6^2+0.75*B$6^3)</f>
        <v/>
      </c>
      <c r="C10" s="4">
        <f>$H10*$G4*(6+2.25*C$6+1.5*C$6^2+0.75*C$6^3)</f>
        <v/>
      </c>
      <c r="D10" s="4">
        <f>$H10*$G4*(6+2.25*D$6+1.5*D$6^2+0.75*D$6^3)</f>
        <v/>
      </c>
      <c r="H10" t="n">
        <v>15</v>
      </c>
    </row>
    <row r="11">
      <c r="A11" t="inlineStr">
        <is>
          <t>Élite (20/mes)</t>
        </is>
      </c>
      <c r="B11" s="4">
        <f>$H11*$G4*(6+2.25*B$6+1.5*B$6^2+0.75*B$6^3)</f>
        <v/>
      </c>
      <c r="C11" s="4">
        <f>$H11*$G4*(6+2.25*C$6+1.5*C$6^2+0.75*C$6^3)</f>
        <v/>
      </c>
      <c r="D11" s="4">
        <f>$H11*$G4*(6+2.25*D$6+1.5*D$6^2+0.75*D$6^3)</f>
        <v/>
      </c>
      <c r="H11" t="n">
        <v>20</v>
      </c>
    </row>
    <row r="14">
      <c r="A14" s="3" t="inlineStr">
        <is>
          <t>Precio Lanzamiento STANDARD</t>
        </is>
      </c>
      <c r="F14" s="9" t="inlineStr">
        <is>
          <t>Precio usado:</t>
        </is>
      </c>
      <c r="G14" s="4">
        <f>'Pricing'!C4</f>
        <v/>
      </c>
    </row>
    <row r="15">
      <c r="A15" s="2" t="inlineStr">
        <is>
          <t>Volumen/mes (n)</t>
        </is>
      </c>
      <c r="B15" s="2" t="inlineStr">
        <is>
          <t>Conservador (20%)</t>
        </is>
      </c>
      <c r="C15" s="2" t="inlineStr">
        <is>
          <t>Base (40%)</t>
        </is>
      </c>
      <c r="D15" s="2" t="inlineStr">
        <is>
          <t>Optimista (60%)</t>
        </is>
      </c>
    </row>
    <row r="16">
      <c r="A16" s="10" t="inlineStr">
        <is>
          <t>(r usado por columna →)</t>
        </is>
      </c>
      <c r="B16" s="8" t="n">
        <v>0.2</v>
      </c>
      <c r="C16" s="8" t="n">
        <v>0.4</v>
      </c>
      <c r="D16" s="8" t="n">
        <v>0.6</v>
      </c>
    </row>
    <row r="17">
      <c r="A17" t="inlineStr">
        <is>
          <t>Principiante (3/mes)</t>
        </is>
      </c>
      <c r="B17" s="4">
        <f>$H17*$G14*(6+2.25*B$16+1.5*B$16^2+0.75*B$16^3)</f>
        <v/>
      </c>
      <c r="C17" s="4">
        <f>$H17*$G14*(6+2.25*C$16+1.5*C$16^2+0.75*C$16^3)</f>
        <v/>
      </c>
      <c r="D17" s="4">
        <f>$H17*$G14*(6+2.25*D$16+1.5*D$16^2+0.75*D$16^3)</f>
        <v/>
      </c>
      <c r="H17" t="n">
        <v>3</v>
      </c>
    </row>
    <row r="18">
      <c r="A18" t="inlineStr">
        <is>
          <t>Promedio (5/mes)</t>
        </is>
      </c>
      <c r="B18" s="4">
        <f>$H18*$G14*(6+2.25*B$16+1.5*B$16^2+0.75*B$16^3)</f>
        <v/>
      </c>
      <c r="C18" s="4">
        <f>$H18*$G14*(6+2.25*C$16+1.5*C$16^2+0.75*C$16^3)</f>
        <v/>
      </c>
      <c r="D18" s="4">
        <f>$H18*$G14*(6+2.25*D$16+1.5*D$16^2+0.75*D$16^3)</f>
        <v/>
      </c>
      <c r="H18" t="n">
        <v>5</v>
      </c>
    </row>
    <row r="19">
      <c r="A19" t="inlineStr">
        <is>
          <t>Consistente (10/mes)</t>
        </is>
      </c>
      <c r="B19" s="4">
        <f>$H19*$G14*(6+2.25*B$16+1.5*B$16^2+0.75*B$16^3)</f>
        <v/>
      </c>
      <c r="C19" s="4">
        <f>$H19*$G14*(6+2.25*C$16+1.5*C$16^2+0.75*C$16^3)</f>
        <v/>
      </c>
      <c r="D19" s="4">
        <f>$H19*$G14*(6+2.25*D$16+1.5*D$16^2+0.75*D$16^3)</f>
        <v/>
      </c>
      <c r="H19" t="n">
        <v>10</v>
      </c>
    </row>
    <row r="20">
      <c r="A20" t="inlineStr">
        <is>
          <t>Alto rendimiento (15/mes)</t>
        </is>
      </c>
      <c r="B20" s="4">
        <f>$H20*$G14*(6+2.25*B$16+1.5*B$16^2+0.75*B$16^3)</f>
        <v/>
      </c>
      <c r="C20" s="4">
        <f>$H20*$G14*(6+2.25*C$16+1.5*C$16^2+0.75*C$16^3)</f>
        <v/>
      </c>
      <c r="D20" s="4">
        <f>$H20*$G14*(6+2.25*D$16+1.5*D$16^2+0.75*D$16^3)</f>
        <v/>
      </c>
      <c r="H20" t="n">
        <v>15</v>
      </c>
    </row>
    <row r="21">
      <c r="A21" t="inlineStr">
        <is>
          <t>Élite (20/mes)</t>
        </is>
      </c>
      <c r="B21" s="4">
        <f>$H21*$G14*(6+2.25*B$16+1.5*B$16^2+0.75*B$16^3)</f>
        <v/>
      </c>
      <c r="C21" s="4">
        <f>$H21*$G14*(6+2.25*C$16+1.5*C$16^2+0.75*C$16^3)</f>
        <v/>
      </c>
      <c r="D21" s="4">
        <f>$H21*$G14*(6+2.25*D$16+1.5*D$16^2+0.75*D$16^3)</f>
        <v/>
      </c>
      <c r="H21" t="n">
        <v>20</v>
      </c>
    </row>
  </sheetData>
  <mergeCells count="1">
    <mergeCell ref="A2:F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14" customWidth="1" min="3" max="3"/>
  </cols>
  <sheetData>
    <row r="1">
      <c r="A1" s="1" t="inlineStr">
        <is>
          <t>Modelo Financiero — Costos y Margen</t>
        </is>
      </c>
    </row>
    <row r="3">
      <c r="A3" s="3" t="inlineStr">
        <is>
          <t>Costos fijos mensuales del negocio (confirmados 2026-07-07)</t>
        </is>
      </c>
    </row>
    <row r="4">
      <c r="A4" s="2" t="inlineStr">
        <is>
          <t>Herramienta</t>
        </is>
      </c>
      <c r="B4" s="2" t="inlineStr">
        <is>
          <t>Costo mensual (USD)</t>
        </is>
      </c>
    </row>
    <row r="5">
      <c r="A5" t="inlineStr">
        <is>
          <t>TradingView Premium</t>
        </is>
      </c>
      <c r="B5" s="4" t="n">
        <v>85</v>
      </c>
    </row>
    <row r="6">
      <c r="A6" t="inlineStr">
        <is>
          <t>Make (automatizaciones)</t>
        </is>
      </c>
      <c r="B6" s="4" t="n">
        <v>10</v>
      </c>
    </row>
    <row r="7">
      <c r="A7" t="inlineStr">
        <is>
          <t>Manychat</t>
        </is>
      </c>
      <c r="B7" s="4" t="n">
        <v>25</v>
      </c>
    </row>
    <row r="8">
      <c r="A8" t="inlineStr">
        <is>
          <t>Skool</t>
        </is>
      </c>
      <c r="B8" s="4" t="n">
        <v>10</v>
      </c>
    </row>
    <row r="9">
      <c r="A9" t="inlineStr">
        <is>
          <t>Claude</t>
        </is>
      </c>
      <c r="B9" s="4" t="n">
        <v>20</v>
      </c>
    </row>
    <row r="10">
      <c r="A10" s="3" t="inlineStr">
        <is>
          <t>Total costo_fijo_mensual_negocio</t>
        </is>
      </c>
      <c r="B10" s="11">
        <f>SUM(B5:B9)</f>
        <v/>
      </c>
    </row>
    <row r="12">
      <c r="A12" s="3" t="inlineStr">
        <is>
          <t>Costos aún sin confirmar (no inventar — dejar en 0 hasta tener el dato real)</t>
        </is>
      </c>
    </row>
    <row r="13">
      <c r="A13" s="2" t="inlineStr">
        <is>
          <t>Variable</t>
        </is>
      </c>
      <c r="B13" s="2" t="inlineStr">
        <is>
          <t>Qué representa</t>
        </is>
      </c>
      <c r="C13" s="2" t="inlineStr">
        <is>
          <t>Valor</t>
        </is>
      </c>
    </row>
    <row r="14">
      <c r="A14" t="inlineStr">
        <is>
          <t>fee_pago</t>
        </is>
      </c>
      <c r="B14" s="7" t="inlineStr">
        <is>
          <t>% de comisión de la pasarela de pago (Stripe, etc.)</t>
        </is>
      </c>
      <c r="C14" s="12" t="n">
        <v>0</v>
      </c>
    </row>
    <row r="15">
      <c r="A15" t="inlineStr">
        <is>
          <t>costo_soporte_mensual</t>
        </is>
      </c>
      <c r="B15" s="7" t="inlineStr">
        <is>
          <t>Costo de soporte/comunidad por cliente activo al mes</t>
        </is>
      </c>
      <c r="C15" s="12" t="n">
        <v>0</v>
      </c>
    </row>
    <row r="16">
      <c r="A16" t="inlineStr">
        <is>
          <t>costo_herramientas_mensual_por_cliente</t>
        </is>
      </c>
      <c r="B16" s="7" t="inlineStr">
        <is>
          <t>Prorrateo por cliente de alguna herramienta que escale con clientes</t>
        </is>
      </c>
      <c r="C16" s="12" t="n">
        <v>0</v>
      </c>
    </row>
    <row r="19">
      <c r="A19" s="3" t="inlineStr">
        <is>
          <t>Margen por venta individual (referido por embajador, primera venta, plan STANDARD, precio oficial)</t>
        </is>
      </c>
    </row>
    <row r="20">
      <c r="A20" t="inlineStr">
        <is>
          <t>Precio del plan</t>
        </is>
      </c>
      <c r="B20" s="4">
        <f>'Pricing'!D4</f>
        <v/>
      </c>
    </row>
    <row r="21">
      <c r="A21" t="inlineStr">
        <is>
          <t>Ingreso neto de pago</t>
        </is>
      </c>
      <c r="B21" s="4">
        <f>B20*(1-C14)</f>
        <v/>
      </c>
    </row>
    <row r="22">
      <c r="A22" t="inlineStr">
        <is>
          <t>Comisión embajador (1ra venta, 50%)</t>
        </is>
      </c>
      <c r="B22" s="4">
        <f>B20*0.5</f>
        <v/>
      </c>
    </row>
    <row r="23">
      <c r="A23" t="inlineStr">
        <is>
          <t>Costo operativo del plan (soporte+herramientas × 3 meses)</t>
        </is>
      </c>
      <c r="B23" s="4">
        <f>(C15+C16)*3</f>
        <v/>
      </c>
    </row>
    <row r="24">
      <c r="A24" t="inlineStr">
        <is>
          <t>Margen neto</t>
        </is>
      </c>
      <c r="B24" s="4">
        <f>B21-B22-B23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18" customWidth="1" min="3" max="3"/>
  </cols>
  <sheetData>
    <row r="1">
      <c r="A1" s="1" t="inlineStr">
        <is>
          <t>Reparto de Ganancia Libre</t>
        </is>
      </c>
    </row>
    <row r="3">
      <c r="A3" s="6" t="inlineStr">
        <is>
          <t>Ganancia libre anual (input manual — pendiente de cifra real confirmada; costos de fee de pago y soporte de Modelo Financiero aún no están incluidos en ningún número real)</t>
        </is>
      </c>
    </row>
    <row r="4">
      <c r="A4" s="3" t="inlineStr">
        <is>
          <t>Ganancia libre anual (USD)</t>
        </is>
      </c>
      <c r="B4" s="13" t="n">
        <v>0</v>
      </c>
    </row>
    <row r="6">
      <c r="A6" s="2" t="inlineStr">
        <is>
          <t>Destino</t>
        </is>
      </c>
      <c r="B6" s="2" t="inlineStr">
        <is>
          <t>% de la ganancia libre</t>
        </is>
      </c>
      <c r="C6" s="2" t="inlineStr">
        <is>
          <t>Monto (USD)</t>
        </is>
      </c>
    </row>
    <row r="7">
      <c r="A7" t="inlineStr">
        <is>
          <t>Gustavo (estratega digital)</t>
        </is>
      </c>
      <c r="B7" s="8" t="n">
        <v>0.25</v>
      </c>
      <c r="C7" s="4">
        <f>$B$4*B7</f>
        <v/>
      </c>
    </row>
    <row r="8">
      <c r="A8" t="inlineStr">
        <is>
          <t>Reserva (impuestos/imprevistos/stack de plataformas)</t>
        </is>
      </c>
      <c r="B8" s="8" t="n">
        <v>0.15</v>
      </c>
      <c r="C8" s="4">
        <f>$B$4*B8</f>
        <v/>
      </c>
    </row>
    <row r="9">
      <c r="A9" t="inlineStr">
        <is>
          <t>Fundador</t>
        </is>
      </c>
      <c r="B9" s="8" t="n">
        <v>0.3</v>
      </c>
      <c r="C9" s="4">
        <f>$B$4*B9</f>
        <v/>
      </c>
    </row>
    <row r="10">
      <c r="A10" t="inlineStr">
        <is>
          <t>Meli (rol comercial)</t>
        </is>
      </c>
      <c r="B10" s="8" t="n">
        <v>0.3</v>
      </c>
      <c r="C10" s="4">
        <f>$B$4*B10</f>
        <v/>
      </c>
    </row>
    <row r="11">
      <c r="A11" s="3" t="inlineStr">
        <is>
          <t>Total</t>
        </is>
      </c>
      <c r="B11" s="14">
        <f>SUM(B7:B10)</f>
        <v/>
      </c>
      <c r="C11" s="11">
        <f>SUM(C7:C10)</f>
        <v/>
      </c>
    </row>
    <row r="14">
      <c r="A14" s="6" t="inlineStr">
        <is>
          <t>Ejemplo ilustrativo ya calculado en la conversación (escenario: 10 embajadores × 10 nuevos/mes, 40% retención trimestral, STANDARD) — NO es una cifra real medida</t>
        </is>
      </c>
    </row>
    <row r="15">
      <c r="A15" s="2" t="inlineStr">
        <is>
          <t>Escenario</t>
        </is>
      </c>
      <c r="B15" s="2" t="inlineStr">
        <is>
          <t>Ganancia libre anual estimada</t>
        </is>
      </c>
    </row>
    <row r="16">
      <c r="A16" t="inlineStr">
        <is>
          <t>Precio de lanzamiento</t>
        </is>
      </c>
      <c r="B16" s="4" t="n">
        <v>186610.8</v>
      </c>
    </row>
    <row r="17">
      <c r="A17" t="inlineStr">
        <is>
          <t>Precio oficial</t>
        </is>
      </c>
      <c r="B17" s="4" t="n">
        <v>238143.6</v>
      </c>
    </row>
  </sheetData>
  <mergeCells count="2">
    <mergeCell ref="A3:D3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2026-07-08T23:07:06Z</dcterms:created>
  <dcterms:modified xsi:type="dcterms:W3CDTF">2026-07-08T23:07:06Z</dcterms:modified>
</cp:coreProperties>
</file>